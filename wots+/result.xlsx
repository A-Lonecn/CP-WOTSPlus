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M4" i="1" l="1"/>
  <c r="M5" i="1"/>
  <c r="M8" i="1" l="1"/>
  <c r="M9" i="1"/>
  <c r="M10" i="1"/>
  <c r="M7" i="1"/>
</calcChain>
</file>

<file path=xl/sharedStrings.xml><?xml version="1.0" encoding="utf-8"?>
<sst xmlns="http://schemas.openxmlformats.org/spreadsheetml/2006/main" count="32" uniqueCount="24">
  <si>
    <t>Scheme</t>
    <phoneticPr fontId="1" type="noConversion"/>
  </si>
  <si>
    <t>KeyGen</t>
    <phoneticPr fontId="1" type="noConversion"/>
  </si>
  <si>
    <t>Time/ms</t>
    <phoneticPr fontId="1" type="noConversion"/>
  </si>
  <si>
    <t>Hash_Iterations</t>
    <phoneticPr fontId="1" type="noConversion"/>
  </si>
  <si>
    <t>SigGen</t>
    <phoneticPr fontId="1" type="noConversion"/>
  </si>
  <si>
    <t>SigVeri</t>
    <phoneticPr fontId="1" type="noConversion"/>
  </si>
  <si>
    <t>Size</t>
    <phoneticPr fontId="1" type="noConversion"/>
  </si>
  <si>
    <t>Saved_Iterations</t>
    <phoneticPr fontId="1" type="noConversion"/>
  </si>
  <si>
    <t>SK/bytes</t>
    <phoneticPr fontId="1" type="noConversion"/>
  </si>
  <si>
    <t>PK/bytes</t>
    <phoneticPr fontId="1" type="noConversion"/>
  </si>
  <si>
    <t>Signature/bytes</t>
    <phoneticPr fontId="1" type="noConversion"/>
  </si>
  <si>
    <t>wots+_w16</t>
    <phoneticPr fontId="1" type="noConversion"/>
  </si>
  <si>
    <t>wots+_w256</t>
    <phoneticPr fontId="1" type="noConversion"/>
  </si>
  <si>
    <t>wots+_w256_cp8</t>
    <phoneticPr fontId="1" type="noConversion"/>
  </si>
  <si>
    <t>wots+_w256_cp16</t>
    <phoneticPr fontId="1" type="noConversion"/>
  </si>
  <si>
    <t>wots+_w256_cp32</t>
    <phoneticPr fontId="1" type="noConversion"/>
  </si>
  <si>
    <t>wots+_w256_cp64</t>
    <phoneticPr fontId="1" type="noConversion"/>
  </si>
  <si>
    <t>——</t>
    <phoneticPr fontId="1" type="noConversion"/>
  </si>
  <si>
    <t>——</t>
    <phoneticPr fontId="1" type="noConversion"/>
  </si>
  <si>
    <t>Middle_valus_storage/bytes</t>
    <phoneticPr fontId="1" type="noConversion"/>
  </si>
  <si>
    <t>Middle_valus_storage_withoutPK</t>
    <phoneticPr fontId="1" type="noConversion"/>
  </si>
  <si>
    <t>Parameters:n=32,message_lenth=64 bytes</t>
    <phoneticPr fontId="1" type="noConversion"/>
  </si>
  <si>
    <t>wots+_w16_cp4</t>
    <phoneticPr fontId="1" type="noConversion"/>
  </si>
  <si>
    <t>wots+_w16_cp8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</si>
</sst>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zoomScale="115" zoomScaleNormal="115" workbookViewId="0">
      <selection activeCell="K22" sqref="K22"/>
    </sheetView>
  </sheetViews>
  <sheetFormatPr defaultRowHeight="14.4" x14ac:dyDescent="0.25"/>
  <cols>
    <col min="1" max="1" width="20.21875" customWidth="1"/>
    <col min="2" max="2" width="17.21875" customWidth="1"/>
    <col min="3" max="3" width="10.88671875" customWidth="1"/>
    <col min="4" max="4" width="17.33203125" customWidth="1"/>
    <col min="5" max="5" width="10.77734375" customWidth="1"/>
    <col min="6" max="6" width="19.5546875" customWidth="1"/>
    <col min="7" max="7" width="17.5546875" customWidth="1"/>
    <col min="8" max="8" width="10.6640625" customWidth="1"/>
    <col min="9" max="9" width="9.5546875" customWidth="1"/>
    <col min="10" max="10" width="9.6640625" customWidth="1"/>
    <col min="11" max="11" width="17.33203125" customWidth="1"/>
    <col min="12" max="12" width="29.5546875" customWidth="1"/>
    <col min="13" max="13" width="32.6640625" customWidth="1"/>
  </cols>
  <sheetData>
    <row r="1" spans="1:13" x14ac:dyDescent="0.25">
      <c r="A1" s="4" t="s">
        <v>0</v>
      </c>
      <c r="B1" s="3" t="s">
        <v>1</v>
      </c>
      <c r="C1" s="3"/>
      <c r="D1" s="3" t="s">
        <v>4</v>
      </c>
      <c r="E1" s="3"/>
      <c r="F1" s="3"/>
      <c r="G1" s="3" t="s">
        <v>5</v>
      </c>
      <c r="H1" s="3"/>
      <c r="I1" s="3" t="s">
        <v>6</v>
      </c>
      <c r="J1" s="3"/>
      <c r="K1" s="3"/>
      <c r="L1" s="3"/>
    </row>
    <row r="2" spans="1:13" x14ac:dyDescent="0.25">
      <c r="A2" s="4"/>
      <c r="B2" s="1" t="s">
        <v>3</v>
      </c>
      <c r="C2" s="1" t="s">
        <v>2</v>
      </c>
      <c r="D2" s="1" t="s">
        <v>3</v>
      </c>
      <c r="E2" s="1" t="s">
        <v>2</v>
      </c>
      <c r="F2" s="1" t="s">
        <v>7</v>
      </c>
      <c r="G2" s="1" t="s">
        <v>3</v>
      </c>
      <c r="H2" s="1" t="s">
        <v>2</v>
      </c>
      <c r="I2" s="1" t="s">
        <v>8</v>
      </c>
      <c r="J2" s="1" t="s">
        <v>9</v>
      </c>
      <c r="K2" s="1" t="s">
        <v>10</v>
      </c>
      <c r="L2" s="1" t="s">
        <v>19</v>
      </c>
      <c r="M2" t="s">
        <v>20</v>
      </c>
    </row>
    <row r="3" spans="1:13" x14ac:dyDescent="0.25">
      <c r="A3" s="1" t="s">
        <v>11</v>
      </c>
      <c r="B3" s="1">
        <v>1005</v>
      </c>
      <c r="C3" s="1">
        <v>1.49</v>
      </c>
      <c r="D3" s="1">
        <v>496</v>
      </c>
      <c r="E3" s="1">
        <v>0.89</v>
      </c>
      <c r="F3" s="1" t="s">
        <v>18</v>
      </c>
      <c r="G3" s="1">
        <v>508</v>
      </c>
      <c r="H3" s="1">
        <v>0.89</v>
      </c>
      <c r="I3" s="1">
        <v>2144</v>
      </c>
      <c r="J3" s="1">
        <v>2144</v>
      </c>
      <c r="K3" s="1">
        <v>2144</v>
      </c>
      <c r="L3" s="1" t="s">
        <v>17</v>
      </c>
      <c r="M3" s="1" t="s">
        <v>17</v>
      </c>
    </row>
    <row r="4" spans="1:13" x14ac:dyDescent="0.25">
      <c r="A4" s="2" t="s">
        <v>22</v>
      </c>
      <c r="B4" s="2">
        <v>1005</v>
      </c>
      <c r="C4" s="2">
        <v>1.48</v>
      </c>
      <c r="D4" s="2">
        <v>97</v>
      </c>
      <c r="E4" s="2">
        <v>0.14000000000000001</v>
      </c>
      <c r="F4" s="2">
        <v>395</v>
      </c>
      <c r="G4" s="2">
        <v>511</v>
      </c>
      <c r="H4" s="2">
        <v>0.82</v>
      </c>
      <c r="I4" s="2">
        <v>2144</v>
      </c>
      <c r="J4" s="2">
        <v>2144</v>
      </c>
      <c r="K4" s="2">
        <v>2144</v>
      </c>
      <c r="L4" s="2">
        <v>10720</v>
      </c>
      <c r="M4" s="2">
        <f>L4-J4</f>
        <v>8576</v>
      </c>
    </row>
    <row r="5" spans="1:13" x14ac:dyDescent="0.25">
      <c r="A5" s="2" t="s">
        <v>23</v>
      </c>
      <c r="B5" s="2">
        <v>1005</v>
      </c>
      <c r="C5" s="2">
        <v>1.49</v>
      </c>
      <c r="D5" s="2">
        <v>233</v>
      </c>
      <c r="E5" s="2">
        <v>0.36</v>
      </c>
      <c r="F5" s="2">
        <v>261</v>
      </c>
      <c r="G5" s="2">
        <v>510</v>
      </c>
      <c r="H5" s="2">
        <v>0.8</v>
      </c>
      <c r="I5" s="2">
        <v>2144</v>
      </c>
      <c r="J5" s="2">
        <v>2144</v>
      </c>
      <c r="K5" s="2">
        <v>2144</v>
      </c>
      <c r="L5" s="2">
        <v>6432</v>
      </c>
      <c r="M5" s="2">
        <f>L5-J5</f>
        <v>4288</v>
      </c>
    </row>
    <row r="6" spans="1:13" x14ac:dyDescent="0.25">
      <c r="A6" s="1" t="s">
        <v>12</v>
      </c>
      <c r="B6" s="1">
        <v>8670</v>
      </c>
      <c r="C6" s="1">
        <v>13.78</v>
      </c>
      <c r="D6" s="1">
        <v>4131</v>
      </c>
      <c r="E6" s="1">
        <v>7.15</v>
      </c>
      <c r="F6" s="1" t="s">
        <v>17</v>
      </c>
      <c r="G6" s="1">
        <v>4539</v>
      </c>
      <c r="H6" s="1">
        <v>7.63</v>
      </c>
      <c r="I6" s="1">
        <v>1088</v>
      </c>
      <c r="J6" s="1">
        <v>1088</v>
      </c>
      <c r="K6" s="1">
        <v>1088</v>
      </c>
      <c r="L6" s="1" t="s">
        <v>18</v>
      </c>
      <c r="M6" s="1" t="s">
        <v>18</v>
      </c>
    </row>
    <row r="7" spans="1:13" x14ac:dyDescent="0.25">
      <c r="A7" s="1" t="s">
        <v>13</v>
      </c>
      <c r="B7" s="1">
        <v>8670</v>
      </c>
      <c r="C7" s="1">
        <v>12.88</v>
      </c>
      <c r="D7" s="1">
        <v>118</v>
      </c>
      <c r="E7" s="1">
        <v>0.19</v>
      </c>
      <c r="F7" s="1">
        <v>3961</v>
      </c>
      <c r="G7" s="1">
        <v>4590</v>
      </c>
      <c r="H7" s="1">
        <v>8.11</v>
      </c>
      <c r="I7" s="1">
        <v>1088</v>
      </c>
      <c r="J7" s="1">
        <v>1088</v>
      </c>
      <c r="K7" s="1">
        <v>1088</v>
      </c>
      <c r="L7" s="1">
        <v>35904</v>
      </c>
      <c r="M7" s="1">
        <f>L7-J7</f>
        <v>34816</v>
      </c>
    </row>
    <row r="8" spans="1:13" x14ac:dyDescent="0.25">
      <c r="A8" s="1" t="s">
        <v>14</v>
      </c>
      <c r="B8" s="1">
        <v>8670</v>
      </c>
      <c r="C8" s="1">
        <v>13.96</v>
      </c>
      <c r="D8" s="1">
        <v>272</v>
      </c>
      <c r="E8" s="1">
        <v>0.45</v>
      </c>
      <c r="F8" s="1">
        <v>3756</v>
      </c>
      <c r="G8" s="1">
        <v>4641</v>
      </c>
      <c r="H8" s="1">
        <v>8.33</v>
      </c>
      <c r="I8" s="1">
        <v>1088</v>
      </c>
      <c r="J8" s="1">
        <v>1088</v>
      </c>
      <c r="K8" s="1">
        <v>1088</v>
      </c>
      <c r="L8" s="1">
        <v>18496</v>
      </c>
      <c r="M8" s="1">
        <f t="shared" ref="M8:M10" si="0">L8-J8</f>
        <v>17408</v>
      </c>
    </row>
    <row r="9" spans="1:13" x14ac:dyDescent="0.25">
      <c r="A9" s="1" t="s">
        <v>15</v>
      </c>
      <c r="B9" s="1">
        <v>8670</v>
      </c>
      <c r="C9" s="1">
        <v>13.21</v>
      </c>
      <c r="D9" s="1">
        <v>490</v>
      </c>
      <c r="E9" s="1">
        <v>0.82</v>
      </c>
      <c r="F9" s="1">
        <v>3488</v>
      </c>
      <c r="G9" s="1">
        <v>4692</v>
      </c>
      <c r="H9" s="1">
        <v>8.2899999999999991</v>
      </c>
      <c r="I9" s="1">
        <v>1088</v>
      </c>
      <c r="J9" s="1">
        <v>1088</v>
      </c>
      <c r="K9" s="1">
        <v>1088</v>
      </c>
      <c r="L9" s="1">
        <v>9792</v>
      </c>
      <c r="M9" s="1">
        <f t="shared" si="0"/>
        <v>8704</v>
      </c>
    </row>
    <row r="10" spans="1:13" x14ac:dyDescent="0.25">
      <c r="A10" s="1" t="s">
        <v>16</v>
      </c>
      <c r="B10" s="1">
        <v>8670</v>
      </c>
      <c r="C10" s="1">
        <v>13.74</v>
      </c>
      <c r="D10" s="1">
        <v>1052</v>
      </c>
      <c r="E10" s="1">
        <v>1.98</v>
      </c>
      <c r="F10" s="1">
        <v>3129</v>
      </c>
      <c r="G10" s="1">
        <v>4488</v>
      </c>
      <c r="H10" s="1">
        <v>7.86</v>
      </c>
      <c r="I10" s="1">
        <v>1088</v>
      </c>
      <c r="J10" s="1">
        <v>1088</v>
      </c>
      <c r="K10" s="1">
        <v>1088</v>
      </c>
      <c r="L10" s="1">
        <v>5440</v>
      </c>
      <c r="M10" s="1">
        <f t="shared" si="0"/>
        <v>4352</v>
      </c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3" x14ac:dyDescent="0.25">
      <c r="A12" s="3" t="s">
        <v>21</v>
      </c>
      <c r="B12" s="3"/>
      <c r="C12" s="3"/>
      <c r="D12" s="1"/>
      <c r="E12" s="1"/>
      <c r="F12" s="1"/>
      <c r="G12" s="1"/>
      <c r="H12" s="1"/>
      <c r="I12" s="1"/>
      <c r="J12" s="1"/>
      <c r="K12" s="1"/>
      <c r="L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mergeCells count="6">
    <mergeCell ref="I1:L1"/>
    <mergeCell ref="A12:C12"/>
    <mergeCell ref="B1:C1"/>
    <mergeCell ref="D1:F1"/>
    <mergeCell ref="G1:H1"/>
    <mergeCell ref="A1:A2"/>
  </mergeCells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2025-11-05T14:04:29Z</dcterms:modified>
</cp:coreProperties>
</file>